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fa3d0c589fc936c/Desktop/cuckoo-route-tool/"/>
    </mc:Choice>
  </mc:AlternateContent>
  <xr:revisionPtr revIDLastSave="4" documentId="11_247B902515A2137D88FF79BD4FC55714DD211892" xr6:coauthVersionLast="47" xr6:coauthVersionMax="47" xr10:uidLastSave="{01EC2FD5-1E8D-4D66-A6B8-CF6FD593E84C}"/>
  <bookViews>
    <workbookView xWindow="-108" yWindow="-108" windowWidth="23256" windowHeight="12456" xr2:uid="{00000000-000D-0000-FFFF-FFFF00000000}"/>
  </bookViews>
  <sheets>
    <sheet name="Cuckoo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H5" i="1"/>
  <c r="I4" i="1"/>
  <c r="H4" i="1"/>
  <c r="I3" i="1"/>
  <c r="H3" i="1"/>
  <c r="I2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cuckoo_scraper.py</author>
  </authors>
  <commentList>
    <comment ref="G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Type a date here as DD/MM/YYYY (e.g. 08/08/2026).
The WhatsApp Message and WhatsApp Link columns fill themselves in automatically.</t>
        </r>
      </text>
    </comment>
    <comment ref="I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Click to open the right WhatsApp chat directly, then copy the
message from column H and paste it in. (Excel's HYPERLINK function
can't carry a pre-filled message this long — it caps links at 255
characters — so this gets you to the chat, but the message still
needs one paste.)
If this file has the WhatsApp macro installed (see write_output()'s
docstring in cuckoo_scraper.py), double-click instead of single-
clicking — that opens the chat with the message already filled in,
no paste needed.</t>
        </r>
      </text>
    </comment>
    <comment ref="J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Internal use only — the macro reads this to build the full pre-filled WhatsApp link. Don't edit or delete this column.</t>
        </r>
      </text>
    </comment>
  </commentList>
</comments>
</file>

<file path=xl/sharedStrings.xml><?xml version="1.0" encoding="utf-8"?>
<sst xmlns="http://schemas.openxmlformats.org/spreadsheetml/2006/main" count="38" uniqueCount="33">
  <si>
    <t>sales_no</t>
  </si>
  <si>
    <t>appt_date</t>
  </si>
  <si>
    <t>sales_info_product</t>
  </si>
  <si>
    <t>install_contact_person</t>
  </si>
  <si>
    <t>install_mobile1</t>
  </si>
  <si>
    <t>install_address</t>
  </si>
  <si>
    <t>proposed_date</t>
  </si>
  <si>
    <t>WhatsApp Message</t>
  </si>
  <si>
    <t>WhatsApp Link</t>
  </si>
  <si>
    <t>wa_number</t>
  </si>
  <si>
    <t>AA681274</t>
  </si>
  <si>
    <t>-</t>
  </si>
  <si>
    <t>XCEL</t>
  </si>
  <si>
    <t>SALMAH BINTI OMAR</t>
  </si>
  <si>
    <t>+60-132233326</t>
  </si>
  <si>
    <t>NO. 94, JALAN P11A 1/1 PRESINT 11  PUTRAJAYA 62300 WP PUTRAJAYA MALAYSIA</t>
  </si>
  <si>
    <t>60132233326</t>
  </si>
  <si>
    <t>AB059022</t>
  </si>
  <si>
    <t>KING TOP</t>
  </si>
  <si>
    <t>NORHAFIZA BINTI OTHMAN</t>
  </si>
  <si>
    <t>+60-134472064</t>
  </si>
  <si>
    <t>A-T07-U06,BLOK A ZONE 6B JALAN P11J PRESINT 11, PUTRAJAYA  PUTRAJAYA 62300 WP PUTRAJAYA MALAYSIA</t>
  </si>
  <si>
    <t>60134472064</t>
  </si>
  <si>
    <t>AB183656</t>
  </si>
  <si>
    <t>NURUL AKMAR BINTI RASLI</t>
  </si>
  <si>
    <t>+60-122722907</t>
  </si>
  <si>
    <t>NO 12A JALAN P11/1 PRESINT 11  PUTRAJAYA 62300 WP PUTRAJAYA MALAYSIA</t>
  </si>
  <si>
    <t>60122722907</t>
  </si>
  <si>
    <t>AB188013</t>
  </si>
  <si>
    <t>ANITA JAMALUDIN</t>
  </si>
  <si>
    <t>+60-123387004</t>
  </si>
  <si>
    <t>AURA RESIDENCE PUTRAJAYA, C1-13-3 NO 2 JALAN KERAI P8E PRESINT 8 PUTRAJAYA 62250 WP PUTRAJAYA MALAYSIA</t>
  </si>
  <si>
    <t>60123387004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</si>
</sst>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5"/>
  <sheetViews>
    <sheetView tabSelected="1" topLeftCell="F1" workbookViewId="0">
      <pane ySplit="1" topLeftCell="A2" activePane="bottomLeft" state="frozen"/>
      <selection pane="bottomLeft" activeCell="F11" sqref="F11"/>
    </sheetView>
  </sheetViews>
  <sheetFormatPr defaultColWidth="50.21875" defaultRowHeight="14.4" x14ac:dyDescent="0.3"/>
  <cols>
    <col min="1" max="1" width="9.44140625" bestFit="1" customWidth="1"/>
    <col min="2" max="2" width="9.6640625" bestFit="1" customWidth="1"/>
    <col min="3" max="3" width="17.77734375" bestFit="1" customWidth="1"/>
    <col min="4" max="4" width="25" bestFit="1" customWidth="1"/>
    <col min="5" max="5" width="13.88671875" bestFit="1" customWidth="1"/>
    <col min="6" max="6" width="110.33203125" bestFit="1" customWidth="1"/>
    <col min="7" max="7" width="14.21875" bestFit="1" customWidth="1"/>
    <col min="8" max="8" width="18.44140625" bestFit="1" customWidth="1"/>
    <col min="9" max="9" width="14.44140625" bestFit="1" customWidth="1"/>
    <col min="10" max="10" width="12" bestFit="1" customWidth="1"/>
  </cols>
  <sheetData>
    <row r="1" spans="1:10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/>
      <c r="H2" s="5" t="str">
        <f>IF(G2="","","Selamat sejahtera Tuan/Puan," &amp; CHAR(10) &amp; CHAR(10) &amp; "Saya *Hanis*, CUCKOO+ Service Specialist (NDS35095). Saya memohon maaf jika saya menghubungi anda pada waktu yang tidak sesuai." &amp; CHAR(10) &amp; CHAR(10) &amp; "Saya ingin mengesahkan jika saya boleh membuat lawatan servis seperti di bawah." &amp; CHAR(10) &amp; CHAR(10) &amp; "*Tarikh:* " &amp; IFERROR(TEXT(G2,"DD/MM/YYYY") &amp; " (" &amp; CHOOSE(WEEKDAY(G2,2),"Isnin","Selasa","Rabu","Khamis","Jumaat","Sabtu","Ahad") &amp; ")", G2) &amp; CHAR(10) &amp; "*Alamat:* " &amp; F2 &amp; CHAR(10) &amp; "*Produk:* " &amp; C2 &amp; CHAR(10) &amp; "*Nombor Pesanan:* " &amp; A2 &amp; CHAR(10) &amp; CHAR(10) &amp; "Terima kasih, sokongan dan kerjasama Tuan/Puan amat saya hargai.")</f>
        <v/>
      </c>
      <c r="I2" s="6" t="str">
        <f>IF(G2="","",HYPERLINK("https://wa.me/60132233326","Open WhatsApp Chat"))</f>
        <v/>
      </c>
      <c r="J2" s="3" t="s">
        <v>16</v>
      </c>
    </row>
    <row r="3" spans="1:10" x14ac:dyDescent="0.3">
      <c r="A3" s="3" t="s">
        <v>17</v>
      </c>
      <c r="B3" s="3" t="s">
        <v>11</v>
      </c>
      <c r="C3" s="3" t="s">
        <v>18</v>
      </c>
      <c r="D3" s="3" t="s">
        <v>19</v>
      </c>
      <c r="E3" s="3" t="s">
        <v>20</v>
      </c>
      <c r="F3" s="3" t="s">
        <v>21</v>
      </c>
      <c r="G3" s="4"/>
      <c r="H3" s="5" t="str">
        <f>IF(G3="","","Selamat sejahtera Tuan/Puan," &amp; CHAR(10) &amp; CHAR(10) &amp; "Saya *Hanis*, CUCKOO+ Service Specialist (NDS35095). Saya memohon maaf jika saya menghubungi anda pada waktu yang tidak sesuai." &amp; CHAR(10) &amp; CHAR(10) &amp; "Saya ingin mengesahkan jika saya boleh membuat lawatan servis seperti di bawah." &amp; CHAR(10) &amp; CHAR(10) &amp; "*Tarikh:* " &amp; IFERROR(TEXT(G3,"DD/MM/YYYY") &amp; " (" &amp; CHOOSE(WEEKDAY(G3,2),"Isnin","Selasa","Rabu","Khamis","Jumaat","Sabtu","Ahad") &amp; ")", G3) &amp; CHAR(10) &amp; "*Alamat:* " &amp; F3 &amp; CHAR(10) &amp; "*Produk:* " &amp; C3 &amp; CHAR(10) &amp; "*Nombor Pesanan:* " &amp; A3 &amp; CHAR(10) &amp; CHAR(10) &amp; "Terima kasih, sokongan dan kerjasama Tuan/Puan amat saya hargai.")</f>
        <v/>
      </c>
      <c r="I3" s="6" t="str">
        <f>IF(G3="","",HYPERLINK("https://wa.me/60134472064","Open WhatsApp Chat"))</f>
        <v/>
      </c>
      <c r="J3" s="3" t="s">
        <v>22</v>
      </c>
    </row>
    <row r="4" spans="1:10" x14ac:dyDescent="0.3">
      <c r="A4" s="3" t="s">
        <v>23</v>
      </c>
      <c r="B4" s="3" t="s">
        <v>11</v>
      </c>
      <c r="C4" s="3" t="s">
        <v>18</v>
      </c>
      <c r="D4" s="3" t="s">
        <v>24</v>
      </c>
      <c r="E4" s="3" t="s">
        <v>25</v>
      </c>
      <c r="F4" s="3" t="s">
        <v>26</v>
      </c>
      <c r="G4" s="4"/>
      <c r="H4" s="5" t="str">
        <f>IF(G4="","","Selamat sejahtera Tuan/Puan," &amp; CHAR(10) &amp; CHAR(10) &amp; "Saya *Hanis*, CUCKOO+ Service Specialist (NDS35095). Saya memohon maaf jika saya menghubungi anda pada waktu yang tidak sesuai." &amp; CHAR(10) &amp; CHAR(10) &amp; "Saya ingin mengesahkan jika saya boleh membuat lawatan servis seperti di bawah." &amp; CHAR(10) &amp; CHAR(10) &amp; "*Tarikh:* " &amp; IFERROR(TEXT(G4,"DD/MM/YYYY") &amp; " (" &amp; CHOOSE(WEEKDAY(G4,2),"Isnin","Selasa","Rabu","Khamis","Jumaat","Sabtu","Ahad") &amp; ")", G4) &amp; CHAR(10) &amp; "*Alamat:* " &amp; F4 &amp; CHAR(10) &amp; "*Produk:* " &amp; C4 &amp; CHAR(10) &amp; "*Nombor Pesanan:* " &amp; A4 &amp; CHAR(10) &amp; CHAR(10) &amp; "Terima kasih, sokongan dan kerjasama Tuan/Puan amat saya hargai.")</f>
        <v/>
      </c>
      <c r="I4" s="6" t="str">
        <f>IF(G4="","",HYPERLINK("https://wa.me/60122722907","Open WhatsApp Chat"))</f>
        <v/>
      </c>
      <c r="J4" s="3" t="s">
        <v>27</v>
      </c>
    </row>
    <row r="5" spans="1:10" x14ac:dyDescent="0.3">
      <c r="A5" s="3" t="s">
        <v>28</v>
      </c>
      <c r="B5" s="3" t="s">
        <v>11</v>
      </c>
      <c r="C5" s="3" t="s">
        <v>18</v>
      </c>
      <c r="D5" s="3" t="s">
        <v>29</v>
      </c>
      <c r="E5" s="3" t="s">
        <v>30</v>
      </c>
      <c r="F5" s="3" t="s">
        <v>31</v>
      </c>
      <c r="G5" s="4"/>
      <c r="H5" s="5" t="str">
        <f>IF(G5="","","Selamat sejahtera Tuan/Puan," &amp; CHAR(10) &amp; CHAR(10) &amp; "Saya *Hanis*, CUCKOO+ Service Specialist (NDS35095). Saya memohon maaf jika saya menghubungi anda pada waktu yang tidak sesuai." &amp; CHAR(10) &amp; CHAR(10) &amp; "Saya ingin mengesahkan jika saya boleh membuat lawatan servis seperti di bawah." &amp; CHAR(10) &amp; CHAR(10) &amp; "*Tarikh:* " &amp; IFERROR(TEXT(G5,"DD/MM/YYYY") &amp; " (" &amp; CHOOSE(WEEKDAY(G5,2),"Isnin","Selasa","Rabu","Khamis","Jumaat","Sabtu","Ahad") &amp; ")", G5) &amp; CHAR(10) &amp; "*Alamat:* " &amp; F5 &amp; CHAR(10) &amp; "*Produk:* " &amp; C5 &amp; CHAR(10) &amp; "*Nombor Pesanan:* " &amp; A5 &amp; CHAR(10) &amp; CHAR(10) &amp; "Terima kasih, sokongan dan kerjasama Tuan/Puan amat saya hargai.")</f>
        <v/>
      </c>
      <c r="I5" s="6" t="str">
        <f>IF(G5="","",HYPERLINK("https://wa.me/60123387004","Open WhatsApp Chat"))</f>
        <v/>
      </c>
      <c r="J5" s="3" t="s">
        <v>32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Cuckoo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Hazim Mohd</cp:lastModifiedBy>
  <dcterms:created xsi:type="dcterms:W3CDTF">2026-08-08T14:32:52Z</dcterms:created>
  <dcterms:modified xsi:type="dcterms:W3CDTF">2026-08-08T14:39:53Z</dcterms:modified>
</cp:coreProperties>
</file>